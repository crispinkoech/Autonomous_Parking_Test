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Tien/"/>
    </mc:Choice>
  </mc:AlternateContent>
  <xr:revisionPtr revIDLastSave="432" documentId="11_8DD0A6E3F77B3027421568632296CCE25B29A560" xr6:coauthVersionLast="47" xr6:coauthVersionMax="47" xr10:uidLastSave="{B6012F4A-C2AF-4C11-86CA-D205E28BD501}"/>
  <bookViews>
    <workbookView xWindow="-108" yWindow="-108" windowWidth="23256" windowHeight="12456" tabRatio="861" xr2:uid="{00000000-000D-0000-FFFF-FFFF00000000}"/>
  </bookViews>
  <sheets>
    <sheet name="Unit Design Park" sheetId="3" r:id="rId1"/>
    <sheet name="Decision_Table" sheetId="4" r:id="rId2"/>
  </sheets>
  <externalReferences>
    <externalReference r:id="rId3"/>
  </externalReferences>
  <definedNames>
    <definedName name="C0_coverage">'Unit Design Park'!$D$4</definedName>
    <definedName name="Result_Component_test">'[1]Integration Test Specification'!$H$30</definedName>
    <definedName name="Start_design_IDs">'Unit Design Park'!$C$12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<sst xmlns="http://schemas.openxmlformats.org/spreadsheetml/2006/main" count="86" uniqueCount="62">
  <si>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</si>
  <si>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</si>
  <si>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</si>
  <si>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</si>
  <si>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</si>
  <si>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</si>
  <si>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</si>
  <si>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</si>
  <si>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</si>
  <si>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</si>
  <si>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</si>
  <si>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</si>
  <si>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</si>
  <si>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</si>
  <si>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</si>
  <si>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</si>
  <si>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</si>
  <si>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</si>
  <si>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</si>
  <si>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</si>
  <si>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</si>
  <si>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</si>
  <si>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</si>
  <si>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</si>
  <si>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</si>
  <si>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</si>
  <si>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Conditions / Actions</t>
  </si>
  <si>
    <t>R1</t>
  </si>
  <si>
    <t>R2</t>
  </si>
  <si>
    <t>R3</t>
  </si>
  <si>
    <t>Already at valid parking stretch?</t>
  </si>
  <si>
    <t>Yes</t>
  </si>
  <si>
    <t>No</t>
  </si>
  <si>
    <t>Valid stretch found ahead?</t>
  </si>
  <si>
    <t>-</t>
  </si>
  <si>
    <t>End of street reached?</t>
  </si>
  <si>
    <t>Action: Move forward</t>
  </si>
  <si>
    <t>Final status</t>
  </si>
  <si>
    <t>PARKED</t>
  </si>
  <si>
    <t>UNPARKED</t>
  </si>
  <si>
    <t>TC_P_01</t>
  </si>
  <si>
    <t>Park()</t>
  </si>
  <si>
    <t>Car's parking status is currently UNPARKED
Car's position is in the range between 0 and 500 meters of the stretch</t>
  </si>
  <si>
    <t>Test car is already at the valid parking spot</t>
  </si>
  <si>
    <t>R8.1</t>
  </si>
  <si>
    <t>TC_P_02</t>
  </si>
  <si>
    <t>R8.2</t>
  </si>
  <si>
    <t>Car's parking status is currently UNPARKED
Car's position is in the range between 0 and 500 meters of the stretch
Valid parking spot is ahead within  0 and 500 meters of the stretch</t>
  </si>
  <si>
    <t>Decision Tables</t>
  </si>
  <si>
    <t>Test car is already at the invalid parking spot but found valid spot ahead</t>
  </si>
  <si>
    <t>freeSpotsLength = 5
currCarPosition = 50</t>
  </si>
  <si>
    <t>freeSpotsLength = 0
currCarPosition = 50
sensorData1Sets = {
                            {180, 180, 180, 180, 180},
                            {180, 180, 180, 180, 180},
                            {180, 180, 180, 180, 180},
                            {100, 100, 100, 100, 100},
                            {180, 180, 180, 180, 180},
                            {180, 180, 180, 180, 180},      
                            {180, 180, 180, 180, 180},      
                            {180, 180, 180, 180, 180},      
                            {180, 180, 180, 180, 180},
                            }                                 
sensorData2Sets = {
                            {180, 180, 180, 180, 180},
                            {180, 180, 180, 180, 180},
                            {180, 180, 180, 180, 180},
                            {100, 100, 100, 100, 100},
                            {180, 180, 180, 180, 180},
                            {180, 180, 180, 180, 180},      
                            {180, 180, 180, 180, 180},      
                            {180, 180, 180, 180, 180},      
                            {180, 180, 180, 180, 180},                              
                             }</t>
  </si>
  <si>
    <t>currParkingStatus = PARKED
freeSpotsLength = 0
currCarPosition = 59</t>
  </si>
  <si>
    <t>currParkingStatus = PARKED
currCarPosition = 50
freeSpotsLength = 0</t>
  </si>
  <si>
    <t>TC_P_03</t>
  </si>
  <si>
    <t>R8.3</t>
  </si>
  <si>
    <t>Test car is already at the invalid parking spot but not found valid spot until the end of the stretch</t>
  </si>
  <si>
    <t>Car's parking status is currently UNPARKED
Car's position is in the range between 0 and 500 meters of the stretch
Valid parking spot is unavailable</t>
  </si>
  <si>
    <t>currParkingStatus = UNPARKED
freeSpotsLength = 0
currCarPosition = 500</t>
  </si>
  <si>
    <t xml:space="preserve">freeSpotsLength = 0
currCarPosition = 495
sensorData1Sets = {
                            {100, 100, 100, 100, 100},
                            {100, 100, 100, 100, 100},
                            {100, 100, 100, 100, 100},
                            {100, 100, 100, 100, 100},
                            {100, 100, 100, 100, 100},
                            }                                 
sensorData2Sets = {
                            {100, 100, 100, 100, 100},
                            {100, 100, 100, 100, 100},
                            {100, 100, 100, 100, 100},
                            {100, 100, 100, 100, 100},
                            {100, 100, 100, 100, 100},
                            }                   </t>
  </si>
  <si>
    <t>Passed</t>
  </si>
  <si>
    <t>TestPark.java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</si>
</sst>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
      <b/>
      <sz val="10"/>
      <color indexed="11"/>
      <name val="Arial"/>
      <family val="2"/>
    </font>
  </fonts>
  <fills count="18">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4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6"/>
    <xf numFmtId="0" fontId="12" fillId="14" borderId="40"/>
  </cellStyleXfs>
  <cellXfs count="87">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0" xfId="1" applyFont="1" applyFill="1" applyBorder="1" applyAlignment="1">
      <alignment horizontal="centerContinuous" vertical="top" wrapText="1"/>
    </xf>
    <xf numFmtId="0" fontId="11" fillId="9" borderId="5" xfId="1" applyFont="1" applyFill="1" applyBorder="1" applyAlignment="1">
      <alignment horizontal="centerContinuous" vertical="top" wrapText="1"/>
    </xf>
    <xf numFmtId="49" fontId="4" fillId="8" borderId="21" xfId="4" applyNumberFormat="1" applyFont="1" applyFill="1" applyBorder="1" applyAlignment="1">
      <alignment horizontal="centerContinuous" vertical="top" wrapText="1"/>
    </xf>
    <xf numFmtId="49" fontId="4" fillId="8" borderId="22"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14" fillId="5" borderId="0" xfId="0" applyFont="1" applyFill="1" applyAlignment="1">
      <alignment vertical="top" wrapText="1"/>
    </xf>
    <xf numFmtId="0" fontId="5" fillId="6" borderId="30" xfId="4" applyFont="1" applyFill="1" applyBorder="1" applyAlignment="1">
      <alignment horizontal="center" vertical="center" wrapText="1"/>
    </xf>
    <xf numFmtId="0" fontId="7" fillId="6" borderId="31" xfId="4" applyFont="1" applyFill="1" applyBorder="1" applyAlignment="1">
      <alignment horizontal="centerContinuous" vertical="center" wrapText="1"/>
    </xf>
    <xf numFmtId="49" fontId="0" fillId="10" borderId="7"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8" xfId="0" applyFill="1" applyBorder="1" applyAlignment="1">
      <alignment horizontal="center" vertical="center" wrapText="1"/>
    </xf>
    <xf numFmtId="49" fontId="0" fillId="4" borderId="10" xfId="0" applyNumberFormat="1" applyFill="1" applyBorder="1" applyAlignment="1">
      <alignment horizontal="center" vertical="center" wrapText="1"/>
    </xf>
    <xf numFmtId="0" fontId="0" fillId="10" borderId="10" xfId="0" applyFill="1" applyBorder="1" applyAlignment="1">
      <alignment horizontal="center" vertical="center" wrapText="1"/>
    </xf>
    <xf numFmtId="0" fontId="5" fillId="5" borderId="27" xfId="4" applyFont="1" applyFill="1" applyBorder="1" applyAlignment="1">
      <alignment horizontal="center" vertical="center" wrapText="1"/>
    </xf>
    <xf numFmtId="0" fontId="0" fillId="10" borderId="12" xfId="0" applyFill="1" applyBorder="1" applyAlignment="1">
      <alignment horizontal="center" vertical="center" wrapText="1"/>
    </xf>
    <xf numFmtId="0" fontId="0" fillId="7" borderId="28" xfId="0" applyFill="1" applyBorder="1" applyAlignment="1">
      <alignment vertical="top" wrapText="1"/>
    </xf>
    <xf numFmtId="0" fontId="0" fillId="7" borderId="37" xfId="0" applyFill="1" applyBorder="1" applyAlignment="1">
      <alignment vertical="top" wrapText="1"/>
    </xf>
    <xf numFmtId="49" fontId="3" fillId="7" borderId="32" xfId="5" applyNumberFormat="1" applyFont="1" applyFill="1" applyBorder="1" applyAlignment="1">
      <alignment horizontal="center" vertical="center" wrapText="1"/>
    </xf>
    <xf numFmtId="0" fontId="3" fillId="7" borderId="32"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5" xfId="4" applyNumberFormat="1" applyFont="1" applyFill="1" applyBorder="1" applyAlignment="1">
      <alignment horizontal="centerContinuous" vertical="top" wrapText="1"/>
    </xf>
    <xf numFmtId="0" fontId="11" fillId="9" borderId="25" xfId="1" applyFont="1" applyFill="1" applyBorder="1" applyAlignment="1">
      <alignment horizontal="centerContinuous" vertical="top" wrapText="1"/>
    </xf>
    <xf numFmtId="49" fontId="3" fillId="0" borderId="37" xfId="5" applyNumberFormat="1" applyFont="1" applyBorder="1" applyAlignment="1">
      <alignment horizontal="center" vertical="center" wrapText="1"/>
    </xf>
    <xf numFmtId="0" fontId="0" fillId="0" borderId="28" xfId="0" applyBorder="1" applyAlignment="1">
      <alignment horizontal="center" vertical="center" wrapText="1"/>
    </xf>
    <xf numFmtId="0" fontId="11" fillId="9" borderId="33" xfId="1" applyFont="1" applyFill="1" applyBorder="1" applyAlignment="1">
      <alignment horizontal="centerContinuous" vertical="top" wrapText="1"/>
    </xf>
    <xf numFmtId="0" fontId="11" fillId="9" borderId="39" xfId="1" applyFont="1" applyFill="1" applyBorder="1" applyAlignment="1">
      <alignment horizontal="center" vertical="top" wrapText="1"/>
    </xf>
    <xf numFmtId="0" fontId="0" fillId="7" borderId="28"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17" fillId="0" borderId="3" xfId="0" applyFont="1" applyBorder="1" applyAlignment="1">
      <alignment vertical="top" wrapText="1"/>
    </xf>
    <xf numFmtId="0" fontId="10" fillId="15" borderId="3" xfId="0" applyFont="1" applyFill="1" applyBorder="1" applyAlignment="1">
      <alignment horizontal="left" vertical="top" wrapText="1"/>
    </xf>
    <xf numFmtId="0" fontId="0" fillId="0" borderId="3" xfId="0" applyBorder="1" applyAlignment="1">
      <alignment horizontal="left" vertical="top" wrapText="1"/>
    </xf>
    <xf numFmtId="0" fontId="10" fillId="16" borderId="3" xfId="0" applyFont="1" applyFill="1" applyBorder="1" applyAlignment="1">
      <alignment horizontal="left" vertical="top" wrapText="1"/>
    </xf>
    <xf numFmtId="0" fontId="10" fillId="17" borderId="3" xfId="0" applyFont="1" applyFill="1" applyBorder="1" applyAlignment="1">
      <alignment horizontal="left" vertical="top" wrapText="1"/>
    </xf>
    <xf numFmtId="0" fontId="0" fillId="17" borderId="3" xfId="0" applyFill="1" applyBorder="1" applyAlignment="1">
      <alignment horizontal="left" vertical="top" wrapText="1"/>
    </xf>
    <xf numFmtId="0" fontId="3" fillId="11" borderId="24" xfId="4" applyFont="1" applyFill="1" applyBorder="1" applyAlignment="1">
      <alignment horizontal="center" vertical="center" wrapText="1"/>
    </xf>
    <xf numFmtId="0" fontId="0" fillId="0" borderId="26" xfId="0" applyBorder="1"/>
    <xf numFmtId="0" fontId="0" fillId="0" borderId="24" xfId="0" applyBorder="1"/>
    <xf numFmtId="0" fontId="8" fillId="8" borderId="5" xfId="4" applyFont="1" applyFill="1" applyBorder="1" applyAlignment="1">
      <alignment horizontal="center" vertical="top" wrapText="1"/>
    </xf>
    <xf numFmtId="0" fontId="0" fillId="0" borderId="29" xfId="0" applyBorder="1"/>
    <xf numFmtId="0" fontId="8" fillId="8" borderId="38" xfId="4" applyFont="1" applyFill="1" applyBorder="1" applyAlignment="1">
      <alignment horizontal="center" vertical="top" wrapText="1"/>
    </xf>
    <xf numFmtId="0" fontId="0" fillId="0" borderId="32" xfId="0" applyBorder="1"/>
    <xf numFmtId="0" fontId="0" fillId="0" borderId="45" xfId="0" applyBorder="1" applyAlignment="1">
      <alignment horizontal="center" vertical="top" wrapText="1"/>
    </xf>
    <xf numFmtId="0" fontId="0" fillId="0" borderId="23" xfId="0" applyBorder="1"/>
    <xf numFmtId="0" fontId="0" fillId="0" borderId="18" xfId="0" applyBorder="1"/>
    <xf numFmtId="0" fontId="10" fillId="4" borderId="45" xfId="0" applyFont="1" applyFill="1" applyBorder="1" applyAlignment="1">
      <alignment horizontal="center" vertical="top" wrapText="1"/>
    </xf>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8" fillId="13" borderId="3" xfId="5" applyFont="1" applyFill="1" applyBorder="1" applyAlignment="1">
      <alignment horizontal="center" vertical="top" wrapText="1"/>
    </xf>
    <xf numFmtId="0" fontId="0" fillId="0" borderId="3" xfId="0" applyBorder="1"/>
    <xf numFmtId="0" fontId="3" fillId="14" borderId="40" xfId="7" applyFont="1" applyAlignment="1">
      <alignment horizontal="center" vertical="center" wrapText="1"/>
    </xf>
    <xf numFmtId="0" fontId="0" fillId="0" borderId="41" xfId="0" applyBorder="1"/>
    <xf numFmtId="0" fontId="0" fillId="0" borderId="42" xfId="0" applyBorder="1"/>
    <xf numFmtId="0" fontId="5" fillId="10" borderId="9" xfId="1" applyFont="1" applyFill="1" applyBorder="1" applyAlignment="1">
      <alignment horizontal="center" vertical="center" wrapText="1"/>
    </xf>
    <xf numFmtId="0" fontId="0" fillId="0" borderId="4" xfId="0" applyBorder="1"/>
    <xf numFmtId="0" fontId="8" fillId="8" borderId="7" xfId="4" applyFont="1" applyFill="1" applyBorder="1" applyAlignment="1">
      <alignment horizontal="center" vertical="top" wrapText="1"/>
    </xf>
    <xf numFmtId="0" fontId="0" fillId="0" borderId="28" xfId="0" applyBorder="1"/>
    <xf numFmtId="0" fontId="8" fillId="8" borderId="6" xfId="4" applyFont="1" applyFill="1" applyBorder="1" applyAlignment="1">
      <alignment horizontal="center" vertical="top" wrapText="1"/>
    </xf>
    <xf numFmtId="0" fontId="0" fillId="0" borderId="37" xfId="0" applyBorder="1"/>
    <xf numFmtId="0" fontId="5" fillId="10" borderId="11" xfId="1" applyFont="1" applyFill="1" applyBorder="1" applyAlignment="1">
      <alignment horizontal="center" vertical="center" wrapText="1"/>
    </xf>
    <xf numFmtId="0" fontId="0" fillId="0" borderId="43" xfId="0" applyBorder="1"/>
    <xf numFmtId="0" fontId="5" fillId="10" borderId="6" xfId="1" applyFont="1" applyFill="1" applyBorder="1" applyAlignment="1">
      <alignment horizontal="center" vertical="center" wrapText="1"/>
    </xf>
    <xf numFmtId="0" fontId="0" fillId="0" borderId="19" xfId="0" applyBorder="1"/>
    <xf numFmtId="49" fontId="8" fillId="8" borderId="44" xfId="4" applyNumberFormat="1" applyFont="1" applyFill="1" applyBorder="1" applyAlignment="1">
      <alignment horizontal="center" vertical="top" wrapText="1"/>
    </xf>
    <xf numFmtId="0" fontId="0" fillId="0" borderId="34" xfId="0" applyBorder="1"/>
    <xf numFmtId="49" fontId="4" fillId="13" borderId="45" xfId="5" applyNumberFormat="1" applyFont="1" applyFill="1" applyBorder="1" applyAlignment="1">
      <alignment horizontal="center" vertical="top" wrapText="1"/>
    </xf>
    <xf numFmtId="49" fontId="8" fillId="13" borderId="6" xfId="5" applyNumberFormat="1" applyFont="1" applyFill="1" applyBorder="1" applyAlignment="1">
      <alignment horizontal="center" vertical="top" wrapText="1"/>
    </xf>
    <xf numFmtId="0" fontId="8" fillId="13" borderId="7" xfId="5" applyFont="1" applyFill="1" applyBorder="1" applyAlignment="1">
      <alignment horizontal="center" vertical="top" wrapText="1"/>
    </xf>
    <xf numFmtId="0" fontId="3" fillId="0" borderId="3" xfId="0" applyFont="1" applyBorder="1" applyAlignment="1">
      <alignment vertical="top" wrapText="1"/>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19">
    <dxf>
      <fill>
        <patternFill>
          <bgColor indexed="10"/>
        </patternFill>
      </fill>
    </dxf>
    <dxf>
      <fill>
        <patternFill>
          <bgColor indexed="11"/>
        </patternFill>
      </fill>
    </dxf>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19"/>
  <sheetViews>
    <sheetView tabSelected="1" zoomScale="85" zoomScaleNormal="85" workbookViewId="0">
      <selection activeCell="J16" sqref="J16"/>
    </sheetView>
  </sheetViews>
  <sheetFormatPr defaultColWidth="11.44140625" defaultRowHeight="13.2" outlineLevelRow="1" x14ac:dyDescent="0.25"/>
  <cols>
    <col min="1" max="1" width="3.109375" style="42" customWidth="1"/>
    <col min="2" max="2" width="35" style="42" bestFit="1" customWidth="1"/>
    <col min="3" max="3" width="9.33203125" style="42" customWidth="1"/>
    <col min="4" max="4" width="15.6640625" style="42" customWidth="1"/>
    <col min="5" max="5" width="34.109375" style="42" customWidth="1"/>
    <col min="6" max="6" width="25" style="42" customWidth="1"/>
    <col min="7" max="7" width="26.33203125" style="42" customWidth="1"/>
    <col min="8" max="8" width="50.44140625" style="42" customWidth="1"/>
    <col min="9" max="9" width="44" style="42" customWidth="1"/>
    <col min="10" max="10" width="30.88671875" style="42" customWidth="1"/>
    <col min="11" max="11" width="12" style="42" customWidth="1"/>
    <col min="12" max="12" width="18.33203125" style="43" customWidth="1"/>
    <col min="13" max="13" width="5.5546875" style="42" customWidth="1"/>
    <col min="14" max="15" width="11.44140625" style="42" customWidth="1"/>
    <col min="16" max="16" width="45.44140625" style="42" customWidth="1"/>
    <col min="17" max="19" width="11.44140625" style="42" customWidth="1"/>
    <col min="20" max="16384" width="11.44140625" style="42"/>
  </cols>
  <sheetData>
    <row r="1" spans="1:13" ht="9.75" customHeight="1" thickBot="1" x14ac:dyDescent="0.3">
      <c r="A1" s="2"/>
      <c r="B1" s="2"/>
      <c r="C1" s="2"/>
      <c r="D1" s="2"/>
      <c r="E1" s="2"/>
      <c r="F1" s="2"/>
      <c r="G1" s="2"/>
      <c r="H1" s="2"/>
      <c r="I1" s="2"/>
      <c r="J1" s="2"/>
      <c r="K1" s="2"/>
      <c r="L1" s="4"/>
      <c r="M1" s="2"/>
    </row>
    <row r="2" spans="1:13" ht="48" customHeight="1" x14ac:dyDescent="0.25">
      <c r="A2" s="1" t="s">
        <v>2</v>
      </c>
      <c r="B2" s="13" t="s">
        <v>3</v>
      </c>
      <c r="C2" s="9"/>
      <c r="D2" s="9"/>
      <c r="E2" s="10"/>
      <c r="F2" s="23"/>
      <c r="G2" s="22"/>
      <c r="H2" s="19"/>
      <c r="I2" s="68"/>
      <c r="J2" s="69"/>
      <c r="K2" s="70"/>
      <c r="L2" s="15"/>
      <c r="M2" s="2"/>
    </row>
    <row r="3" spans="1:13" ht="46.5" hidden="1" customHeight="1" outlineLevel="1" thickBot="1" x14ac:dyDescent="0.3">
      <c r="A3" s="3"/>
      <c r="B3" s="79" t="s">
        <v>4</v>
      </c>
      <c r="C3" s="80"/>
      <c r="D3" s="21" t="s">
        <v>1</v>
      </c>
      <c r="E3" s="25"/>
      <c r="F3" s="23"/>
      <c r="G3" s="14"/>
      <c r="H3" s="20" t="s">
        <v>5</v>
      </c>
      <c r="I3" s="50"/>
      <c r="J3" s="51"/>
      <c r="K3" s="52"/>
      <c r="L3" s="11"/>
      <c r="M3" s="2"/>
    </row>
    <row r="4" spans="1:13" ht="24" hidden="1" customHeight="1" outlineLevel="1" thickBot="1" x14ac:dyDescent="0.3">
      <c r="A4" s="3"/>
      <c r="B4" s="71" t="s">
        <v>6</v>
      </c>
      <c r="C4" s="72"/>
      <c r="D4" s="17" t="s">
        <v>1</v>
      </c>
      <c r="E4" s="26"/>
      <c r="F4" s="24"/>
      <c r="G4" s="11"/>
      <c r="H4" s="9"/>
      <c r="I4" s="9"/>
      <c r="J4" s="9"/>
      <c r="K4" s="9"/>
      <c r="L4" s="9"/>
      <c r="M4" s="2"/>
    </row>
    <row r="5" spans="1:13" ht="23.25" hidden="1" customHeight="1" outlineLevel="1" thickBot="1" x14ac:dyDescent="0.3">
      <c r="A5" s="3"/>
      <c r="B5" s="71" t="s">
        <v>7</v>
      </c>
      <c r="C5" s="72"/>
      <c r="D5" s="17" t="s">
        <v>1</v>
      </c>
      <c r="E5" s="26"/>
      <c r="F5" s="24"/>
      <c r="G5" s="11"/>
      <c r="H5" s="57"/>
      <c r="I5" s="9"/>
      <c r="J5" s="9"/>
      <c r="K5" s="60"/>
      <c r="L5" s="61"/>
      <c r="M5" s="2"/>
    </row>
    <row r="6" spans="1:13" ht="23.25" hidden="1" customHeight="1" outlineLevel="1" x14ac:dyDescent="0.25">
      <c r="A6" s="3"/>
      <c r="B6" s="71" t="s">
        <v>8</v>
      </c>
      <c r="C6" s="72"/>
      <c r="D6" s="17" t="s">
        <v>1</v>
      </c>
      <c r="E6" s="26"/>
      <c r="F6" s="23"/>
      <c r="G6" s="11"/>
      <c r="H6" s="58"/>
      <c r="I6" s="9"/>
      <c r="J6" s="9"/>
      <c r="K6" s="62"/>
      <c r="L6" s="63"/>
      <c r="M6" s="2"/>
    </row>
    <row r="7" spans="1:13" ht="25.5" hidden="1" customHeight="1" outlineLevel="1" x14ac:dyDescent="0.25">
      <c r="A7" s="3"/>
      <c r="B7" s="71" t="s">
        <v>9</v>
      </c>
      <c r="C7" s="72"/>
      <c r="D7" s="34" t="str">
        <f>IF(COUNTIF($J14:$J19,"Failed")&gt;0,"Failed",IF(COUNTIF($J14:$J19,"Not done")&gt;0,"Not done","Passed"))</f>
        <v>Passed</v>
      </c>
      <c r="E7" s="27" t="s">
        <v>10</v>
      </c>
      <c r="F7" s="14"/>
      <c r="G7" s="11"/>
      <c r="H7" s="58"/>
      <c r="I7" s="9"/>
      <c r="J7" s="9"/>
      <c r="K7" s="62"/>
      <c r="L7" s="63"/>
      <c r="M7" s="18"/>
    </row>
    <row r="8" spans="1:13" ht="24" hidden="1" customHeight="1" outlineLevel="1" thickBot="1" x14ac:dyDescent="0.3">
      <c r="A8" s="3"/>
      <c r="B8" s="77" t="s">
        <v>11</v>
      </c>
      <c r="C8" s="78"/>
      <c r="D8" s="28" t="str">
        <f>IF($D7="Failed","Failed",
IF(COUNTIF($D4:$D7,"coverage not fulfilled")&gt;0,"Failed",
IF(COUNTIF($D4:$D7,"Not done")&gt;0,"Not done",
"Passed")))</f>
        <v>Not done</v>
      </c>
      <c r="E8" s="29"/>
      <c r="F8" s="14"/>
      <c r="G8" s="12"/>
      <c r="H8" s="59"/>
      <c r="I8" s="9"/>
      <c r="J8" s="9"/>
      <c r="K8" s="64"/>
      <c r="L8" s="65"/>
      <c r="M8" s="2"/>
    </row>
    <row r="9" spans="1:13" ht="23.25" hidden="1" customHeight="1" outlineLevel="1" thickBot="1" x14ac:dyDescent="0.3">
      <c r="A9" s="3"/>
      <c r="B9" s="11"/>
      <c r="C9" s="12"/>
      <c r="D9" s="12"/>
      <c r="E9" s="12"/>
      <c r="F9" s="12"/>
      <c r="G9" s="12"/>
      <c r="H9" s="12"/>
      <c r="I9" s="12"/>
      <c r="J9" s="12"/>
      <c r="K9" s="12"/>
      <c r="L9" s="12"/>
      <c r="M9" s="2"/>
    </row>
    <row r="10" spans="1:13" ht="39.75" hidden="1" customHeight="1" outlineLevel="1" thickBot="1" x14ac:dyDescent="0.3">
      <c r="A10" s="3" t="s">
        <v>2</v>
      </c>
      <c r="B10" s="5" t="s">
        <v>12</v>
      </c>
      <c r="C10" s="6"/>
      <c r="D10" s="6"/>
      <c r="E10" s="6"/>
      <c r="F10" s="6"/>
      <c r="G10" s="6"/>
      <c r="H10" s="6"/>
      <c r="I10" s="6"/>
      <c r="J10" s="36"/>
      <c r="K10" s="39"/>
      <c r="L10" s="40"/>
      <c r="M10" s="2"/>
    </row>
    <row r="11" spans="1:13" ht="18.75" hidden="1" customHeight="1" outlineLevel="1" thickBot="1" x14ac:dyDescent="0.3">
      <c r="A11" s="2"/>
      <c r="B11" s="7" t="s">
        <v>13</v>
      </c>
      <c r="C11" s="8"/>
      <c r="D11" s="8"/>
      <c r="E11" s="8"/>
      <c r="F11" s="8"/>
      <c r="G11" s="8"/>
      <c r="H11" s="8"/>
      <c r="I11" s="35"/>
      <c r="J11" s="83" t="s">
        <v>0</v>
      </c>
      <c r="K11" s="51"/>
      <c r="L11" s="61"/>
      <c r="M11" s="2"/>
    </row>
    <row r="12" spans="1:13" ht="41.25" hidden="1" customHeight="1" outlineLevel="1" thickBot="1" x14ac:dyDescent="0.3">
      <c r="A12" s="2"/>
      <c r="B12" s="75" t="s">
        <v>24</v>
      </c>
      <c r="C12" s="73" t="s">
        <v>25</v>
      </c>
      <c r="D12" s="73" t="s">
        <v>20</v>
      </c>
      <c r="E12" s="73" t="s">
        <v>14</v>
      </c>
      <c r="F12" s="53" t="s">
        <v>15</v>
      </c>
      <c r="G12" s="81" t="s">
        <v>16</v>
      </c>
      <c r="H12" s="73" t="s">
        <v>17</v>
      </c>
      <c r="I12" s="55" t="s">
        <v>18</v>
      </c>
      <c r="J12" s="84" t="s">
        <v>19</v>
      </c>
      <c r="K12" s="85" t="s">
        <v>21</v>
      </c>
      <c r="L12" s="66" t="s">
        <v>22</v>
      </c>
      <c r="M12" s="2"/>
    </row>
    <row r="13" spans="1:13" ht="97.5" customHeight="1" collapsed="1" thickBot="1" x14ac:dyDescent="0.3">
      <c r="A13" s="2"/>
      <c r="B13" s="76"/>
      <c r="C13" s="74"/>
      <c r="D13" s="74"/>
      <c r="E13" s="74"/>
      <c r="F13" s="54"/>
      <c r="G13" s="82"/>
      <c r="H13" s="74"/>
      <c r="I13" s="56"/>
      <c r="J13" s="76"/>
      <c r="K13" s="74"/>
      <c r="L13" s="67"/>
      <c r="M13" s="2"/>
    </row>
    <row r="14" spans="1:13" ht="66" x14ac:dyDescent="0.25">
      <c r="A14" s="2"/>
      <c r="B14" s="31" t="s">
        <v>40</v>
      </c>
      <c r="C14" s="30" t="s">
        <v>44</v>
      </c>
      <c r="D14" s="30" t="s">
        <v>41</v>
      </c>
      <c r="E14" s="41" t="s">
        <v>43</v>
      </c>
      <c r="F14" s="41" t="s">
        <v>42</v>
      </c>
      <c r="G14" s="32" t="s">
        <v>48</v>
      </c>
      <c r="H14" s="30" t="s">
        <v>50</v>
      </c>
      <c r="I14" s="33" t="s">
        <v>53</v>
      </c>
      <c r="J14" s="37" t="s">
        <v>60</v>
      </c>
      <c r="K14" s="38" t="s">
        <v>23</v>
      </c>
      <c r="L14" s="86" t="s">
        <v>61</v>
      </c>
      <c r="M14" s="2"/>
    </row>
    <row r="15" spans="1:13" ht="91.2" customHeight="1" x14ac:dyDescent="0.25">
      <c r="A15" s="2"/>
      <c r="B15" s="31" t="s">
        <v>45</v>
      </c>
      <c r="C15" s="30" t="s">
        <v>46</v>
      </c>
      <c r="D15" s="30" t="s">
        <v>41</v>
      </c>
      <c r="E15" s="41" t="s">
        <v>49</v>
      </c>
      <c r="F15" s="41" t="s">
        <v>47</v>
      </c>
      <c r="G15" s="32" t="s">
        <v>48</v>
      </c>
      <c r="H15" s="30" t="s">
        <v>51</v>
      </c>
      <c r="I15" s="33" t="s">
        <v>52</v>
      </c>
      <c r="J15" s="37" t="s">
        <v>60</v>
      </c>
      <c r="K15" s="38" t="s">
        <v>23</v>
      </c>
      <c r="L15" s="86" t="s">
        <v>61</v>
      </c>
      <c r="M15" s="2"/>
    </row>
    <row r="16" spans="1:13" ht="64.8" customHeight="1" x14ac:dyDescent="0.25">
      <c r="A16" s="2"/>
      <c r="B16" s="31" t="s">
        <v>54</v>
      </c>
      <c r="C16" s="30" t="s">
        <v>55</v>
      </c>
      <c r="D16" s="30" t="s">
        <v>41</v>
      </c>
      <c r="E16" s="41" t="s">
        <v>56</v>
      </c>
      <c r="F16" s="41" t="s">
        <v>57</v>
      </c>
      <c r="G16" s="32" t="s">
        <v>48</v>
      </c>
      <c r="H16" s="30" t="s">
        <v>59</v>
      </c>
      <c r="I16" s="33" t="s">
        <v>58</v>
      </c>
      <c r="J16" s="37" t="s">
        <v>60</v>
      </c>
      <c r="K16" s="38" t="s">
        <v>23</v>
      </c>
      <c r="L16" s="86" t="s">
        <v>61</v>
      </c>
      <c r="M16" s="2"/>
    </row>
    <row r="17" spans="1:13" x14ac:dyDescent="0.25">
      <c r="A17" s="2"/>
      <c r="B17" s="31"/>
      <c r="C17" s="30"/>
      <c r="D17" s="30"/>
      <c r="E17" s="41"/>
      <c r="F17" s="30"/>
      <c r="G17" s="32"/>
      <c r="H17" s="30"/>
      <c r="I17" s="33"/>
      <c r="J17" s="37"/>
      <c r="K17" s="38"/>
      <c r="L17" s="44"/>
      <c r="M17" s="2"/>
    </row>
    <row r="18" spans="1:13" x14ac:dyDescent="0.25">
      <c r="A18" s="2"/>
      <c r="B18" s="31"/>
      <c r="C18" s="30"/>
      <c r="D18" s="30"/>
      <c r="E18" s="41"/>
      <c r="F18" s="30"/>
      <c r="G18" s="32"/>
      <c r="H18" s="30"/>
      <c r="I18" s="33"/>
      <c r="J18" s="37"/>
      <c r="K18" s="38"/>
      <c r="L18" s="44"/>
      <c r="M18" s="2"/>
    </row>
    <row r="19" spans="1:13" x14ac:dyDescent="0.25">
      <c r="A19" s="2"/>
      <c r="B19" s="31"/>
      <c r="C19" s="16"/>
      <c r="D19" s="30"/>
      <c r="E19" s="41"/>
      <c r="F19" s="30"/>
      <c r="G19" s="32"/>
      <c r="H19" s="30"/>
      <c r="I19" s="33"/>
      <c r="J19" s="37"/>
      <c r="K19" s="38"/>
      <c r="L19" s="44"/>
      <c r="M19" s="2"/>
    </row>
  </sheetData>
  <mergeCells count="22">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 ref="I3:K3"/>
    <mergeCell ref="F12:F13"/>
    <mergeCell ref="I12:I13"/>
    <mergeCell ref="H5:H8"/>
    <mergeCell ref="K5:L8"/>
    <mergeCell ref="L12:L13"/>
  </mergeCells>
  <conditionalFormatting sqref="D3 D9">
    <cfRule type="cellIs" dxfId="18" priority="96" operator="equal">
      <formula>"failed"</formula>
    </cfRule>
    <cfRule type="cellIs" dxfId="17" priority="97" operator="equal">
      <formula>"passed"</formula>
    </cfRule>
  </conditionalFormatting>
  <conditionalFormatting sqref="D4:D6">
    <cfRule type="containsText" dxfId="16" priority="90" operator="containsText" text="coverage not fulfilled">
      <formula>NOT(ISERROR(SEARCH("coverage not fulfilled",D4)))</formula>
    </cfRule>
    <cfRule type="containsText" dxfId="15" priority="91" operator="containsText" text="100">
      <formula>NOT(ISERROR(SEARCH("100",D4)))</formula>
    </cfRule>
  </conditionalFormatting>
  <conditionalFormatting sqref="D8">
    <cfRule type="cellIs" dxfId="14" priority="80" operator="equal">
      <formula>"Failed"</formula>
    </cfRule>
    <cfRule type="cellIs" dxfId="13" priority="81" operator="equal">
      <formula>"Not Done"</formula>
    </cfRule>
    <cfRule type="cellIs" dxfId="12" priority="82" operator="equal">
      <formula>"Passed"</formula>
    </cfRule>
  </conditionalFormatting>
  <conditionalFormatting sqref="G14:G18">
    <cfRule type="cellIs" dxfId="11" priority="79" operator="equal">
      <formula>"Manual-Mandatory"</formula>
    </cfRule>
  </conditionalFormatting>
  <conditionalFormatting sqref="D7">
    <cfRule type="cellIs" dxfId="10" priority="68" operator="equal">
      <formula>"Not done"</formula>
    </cfRule>
    <cfRule type="cellIs" dxfId="9" priority="69" operator="equal">
      <formula>"passed"</formula>
    </cfRule>
    <cfRule type="cellIs" dxfId="8" priority="70" operator="equal">
      <formula>"failed"</formula>
    </cfRule>
  </conditionalFormatting>
  <conditionalFormatting sqref="K14:K19">
    <cfRule type="expression" dxfId="7" priority="67">
      <formula>AND((I14= "yes"), (K14 = "No execution"))</formula>
    </cfRule>
  </conditionalFormatting>
  <conditionalFormatting sqref="J12">
    <cfRule type="cellIs" dxfId="6" priority="65" stopIfTrue="1" operator="equal">
      <formula>"Passed"</formula>
    </cfRule>
    <cfRule type="cellIs" dxfId="5" priority="66" stopIfTrue="1" operator="equal">
      <formula>"Failed"</formula>
    </cfRule>
  </conditionalFormatting>
  <conditionalFormatting sqref="J14:J18">
    <cfRule type="cellIs" dxfId="4" priority="63" stopIfTrue="1" operator="equal">
      <formula>"Passed"</formula>
    </cfRule>
    <cfRule type="cellIs" dxfId="3" priority="64" stopIfTrue="1" operator="equal">
      <formula>"Failed"</formula>
    </cfRule>
  </conditionalFormatting>
  <conditionalFormatting sqref="G19">
    <cfRule type="cellIs" dxfId="2" priority="7" operator="equal">
      <formula>"Manual-Mandatory"</formula>
    </cfRule>
  </conditionalFormatting>
  <conditionalFormatting sqref="J19">
    <cfRule type="cellIs" dxfId="1" priority="5" stopIfTrue="1" operator="equal">
      <formula>"Passed"</formula>
    </cfRule>
    <cfRule type="cellIs" dxfId="0" priority="6" stopIfTrue="1" operator="equal">
      <formula>"Failed"</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19" xr:uid="{00000000-0002-0000-0200-000002000000}">
      <formula1>"Functional Test,Boundary Value Analysis,Equivalence Class Partitioning,MC/DC,Error Guessing,Decision Tables, Others"</formula1>
    </dataValidation>
    <dataValidation type="list" showInputMessage="1" showErrorMessage="1" sqref="J14:J19" xr:uid="{00000000-0002-0000-0200-000003000000}">
      <formula1>"Passed,Failed,Not done"</formula1>
    </dataValidation>
    <dataValidation type="list" showInputMessage="1" showErrorMessage="1" sqref="K14:K19"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D6"/>
  <sheetViews>
    <sheetView zoomScale="130" zoomScaleNormal="130" workbookViewId="0">
      <selection activeCell="E18" sqref="E18"/>
    </sheetView>
  </sheetViews>
  <sheetFormatPr defaultRowHeight="13.2" x14ac:dyDescent="0.25"/>
  <cols>
    <col min="1" max="1" width="25.21875" customWidth="1"/>
    <col min="2" max="2" width="8.6640625" bestFit="1" customWidth="1"/>
    <col min="4" max="4" width="11.44140625" bestFit="1" customWidth="1"/>
  </cols>
  <sheetData>
    <row r="1" spans="1:4" x14ac:dyDescent="0.25">
      <c r="A1" s="45" t="s">
        <v>26</v>
      </c>
      <c r="B1" s="45" t="s">
        <v>27</v>
      </c>
      <c r="C1" s="45" t="s">
        <v>28</v>
      </c>
      <c r="D1" s="45" t="s">
        <v>29</v>
      </c>
    </row>
    <row r="2" spans="1:4" ht="26.4" x14ac:dyDescent="0.25">
      <c r="A2" s="46" t="s">
        <v>30</v>
      </c>
      <c r="B2" s="46" t="s">
        <v>31</v>
      </c>
      <c r="C2" s="46" t="s">
        <v>32</v>
      </c>
      <c r="D2" s="46" t="s">
        <v>32</v>
      </c>
    </row>
    <row r="3" spans="1:4" x14ac:dyDescent="0.25">
      <c r="A3" s="46" t="s">
        <v>33</v>
      </c>
      <c r="B3" s="46" t="s">
        <v>34</v>
      </c>
      <c r="C3" s="46" t="s">
        <v>31</v>
      </c>
      <c r="D3" s="46" t="s">
        <v>32</v>
      </c>
    </row>
    <row r="4" spans="1:4" x14ac:dyDescent="0.25">
      <c r="A4" s="46" t="s">
        <v>35</v>
      </c>
      <c r="B4" s="46" t="s">
        <v>34</v>
      </c>
      <c r="C4" s="46" t="s">
        <v>32</v>
      </c>
      <c r="D4" s="46" t="s">
        <v>31</v>
      </c>
    </row>
    <row r="5" spans="1:4" x14ac:dyDescent="0.25">
      <c r="A5" s="47" t="s">
        <v>36</v>
      </c>
      <c r="B5" s="47" t="s">
        <v>32</v>
      </c>
      <c r="C5" s="47" t="s">
        <v>31</v>
      </c>
      <c r="D5" s="47" t="s">
        <v>31</v>
      </c>
    </row>
    <row r="6" spans="1:4" x14ac:dyDescent="0.25">
      <c r="A6" s="48" t="s">
        <v>37</v>
      </c>
      <c r="B6" s="49" t="s">
        <v>38</v>
      </c>
      <c r="C6" s="49" t="s">
        <v>38</v>
      </c>
      <c r="D6" s="49" t="s">
        <v>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Unit Design Park</vt:lpstr>
      <vt:lpstr>Decision_Table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2026-09-16T16:31:10Z</dcterms:modified>
</cp:coreProperties>
</file>