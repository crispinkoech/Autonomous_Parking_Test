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
    </mc:Choice>
  </mc:AlternateContent>
  <xr:revisionPtr revIDLastSave="43" documentId="11_8DD0A6E3F77B3027421568632296CCE25B29A560" xr6:coauthVersionLast="47" xr6:coauthVersionMax="47" xr10:uidLastSave="{05481D5D-C9A3-4F1E-A1FE-7608D1C08154}"/>
  <bookViews>
    <workbookView xWindow="-108" yWindow="-108" windowWidth="23256" windowHeight="12456" tabRatio="861" xr2:uid="{00000000-000D-0000-FFFF-FFFF00000000}"/>
  </bookViews>
  <sheets>
    <sheet name="Unit Design" sheetId="3" r:id="rId1"/>
  </sheets>
  <externalReferences>
    <externalReference r:id="rId2"/>
  </externalReferences>
  <definedNames>
    <definedName name="C0_coverage">'Unit Design'!$D$4</definedName>
    <definedName name="Result_Component_test">'[1]Integration Test Specification'!$H$30</definedName>
    <definedName name="Start_design_IDs">'Unit Design'!$C$12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<sst xmlns="http://schemas.openxmlformats.org/spreadsheetml/2006/main" count="39" uniqueCount="35">
  <si>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</si>
  <si>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</si>
  <si>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</si>
  <si>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</si>
  <si>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</si>
  <si>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</si>
  <si>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</si>
  <si>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</si>
  <si>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</si>
  <si>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</si>
  <si>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</si>
  <si>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</si>
  <si>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</si>
  <si>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</si>
  <si>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</si>
  <si>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</si>
  <si>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</si>
  <si>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</si>
  <si>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</si>
  <si>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</si>
  <si>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</si>
  <si>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</si>
  <si>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</si>
  <si>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R1.1</t>
  </si>
  <si>
    <t>TC_MF_01</t>
  </si>
  <si>
    <t>moveForward()</t>
  </si>
  <si>
    <t>Verify that the car position increases by exactly 1 meter when moveForward() is called.</t>
  </si>
  <si>
    <t>Boundary Value Analysis</t>
  </si>
  <si>
    <t>currCarPosition = 100 m</t>
  </si>
  <si>
    <t>currCarPosition = 101 m
moveForward() returns a CarState containing position 101 m</t>
  </si>
  <si>
    <t>Passed</t>
  </si>
  <si>
    <t>Manual</t>
  </si>
  <si>
    <t>Test case identifier
(TC_&lt;FunctionName&gt;_&lt;ID&gt;)</t>
  </si>
  <si>
    <t>Link to requirements
(&lt;ID&gt;)</t>
  </si>
  <si>
    <t>Car is initialized and is not parked. 
Current position is 100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</si>
</sst>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5">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s>
  <borders count="4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8"/>
    <xf numFmtId="0" fontId="12" fillId="14" borderId="43"/>
  </cellStyleXfs>
  <cellXfs count="92">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2"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49" fontId="4" fillId="8" borderId="24"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0" fillId="7" borderId="10" xfId="0" applyFill="1" applyBorder="1" applyAlignment="1">
      <alignment vertical="top" wrapText="1"/>
    </xf>
    <xf numFmtId="0" fontId="0" fillId="7" borderId="12" xfId="0" applyFill="1" applyBorder="1" applyAlignment="1">
      <alignment vertical="top" wrapText="1"/>
    </xf>
    <xf numFmtId="0" fontId="0" fillId="7" borderId="13" xfId="0" applyFill="1" applyBorder="1" applyAlignment="1">
      <alignment vertical="top" wrapText="1"/>
    </xf>
    <xf numFmtId="0" fontId="14" fillId="5" borderId="0" xfId="0" applyFont="1" applyFill="1" applyAlignment="1">
      <alignment vertical="top" wrapText="1"/>
    </xf>
    <xf numFmtId="0" fontId="5" fillId="6" borderId="32" xfId="4" applyFont="1" applyFill="1" applyBorder="1" applyAlignment="1">
      <alignment horizontal="center" vertical="center" wrapText="1"/>
    </xf>
    <xf numFmtId="0" fontId="7" fillId="6" borderId="33"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9" xfId="4" applyFont="1" applyFill="1" applyBorder="1" applyAlignment="1">
      <alignment horizontal="center" vertical="center" wrapText="1"/>
    </xf>
    <xf numFmtId="0" fontId="0" fillId="10" borderId="14" xfId="0" applyFill="1" applyBorder="1" applyAlignment="1">
      <alignment horizontal="center" vertical="center" wrapText="1"/>
    </xf>
    <xf numFmtId="0" fontId="0" fillId="7" borderId="30" xfId="0" applyFill="1" applyBorder="1" applyAlignment="1">
      <alignment vertical="top" wrapText="1"/>
    </xf>
    <xf numFmtId="0" fontId="0" fillId="7" borderId="40" xfId="0" applyFill="1" applyBorder="1" applyAlignment="1">
      <alignment vertical="top" wrapText="1"/>
    </xf>
    <xf numFmtId="49" fontId="3" fillId="7" borderId="34" xfId="5" applyNumberFormat="1" applyFont="1" applyFill="1" applyBorder="1" applyAlignment="1">
      <alignment horizontal="center" vertical="center" wrapText="1"/>
    </xf>
    <xf numFmtId="49" fontId="3" fillId="7" borderId="39" xfId="5" applyNumberFormat="1" applyFont="1" applyFill="1" applyBorder="1" applyAlignment="1">
      <alignment horizontal="center" vertical="center" wrapText="1"/>
    </xf>
    <xf numFmtId="0" fontId="3" fillId="7" borderId="34"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7" borderId="39"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7" xfId="4" applyNumberFormat="1" applyFont="1" applyFill="1" applyBorder="1" applyAlignment="1">
      <alignment horizontal="centerContinuous" vertical="top" wrapText="1"/>
    </xf>
    <xf numFmtId="0" fontId="11" fillId="9" borderId="27"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12" xfId="5" applyNumberFormat="1" applyFont="1" applyBorder="1" applyAlignment="1">
      <alignment horizontal="center" vertical="center" wrapText="1"/>
    </xf>
    <xf numFmtId="0" fontId="0" fillId="0" borderId="13" xfId="0" applyBorder="1" applyAlignment="1">
      <alignment horizontal="center" vertical="center" wrapText="1"/>
    </xf>
    <xf numFmtId="49" fontId="3" fillId="0" borderId="40" xfId="5" applyNumberFormat="1" applyFont="1" applyBorder="1" applyAlignment="1">
      <alignment horizontal="center" vertical="center" wrapText="1"/>
    </xf>
    <xf numFmtId="0" fontId="0" fillId="0" borderId="30" xfId="0" applyBorder="1" applyAlignment="1">
      <alignment horizontal="center" vertical="center" wrapText="1"/>
    </xf>
    <xf numFmtId="0" fontId="11" fillId="9" borderId="35" xfId="1" applyFont="1" applyFill="1" applyBorder="1" applyAlignment="1">
      <alignment horizontal="centerContinuous" vertical="top" wrapText="1"/>
    </xf>
    <xf numFmtId="0" fontId="11" fillId="9" borderId="42" xfId="1" applyFont="1" applyFill="1" applyBorder="1" applyAlignment="1">
      <alignment horizontal="center" vertical="top" wrapText="1"/>
    </xf>
    <xf numFmtId="0" fontId="0" fillId="7" borderId="30"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3" fillId="14" borderId="43" xfId="7" applyFont="1" applyAlignment="1">
      <alignment horizontal="center" vertical="center" wrapText="1"/>
    </xf>
    <xf numFmtId="0" fontId="0" fillId="0" borderId="44" xfId="0" applyBorder="1"/>
    <xf numFmtId="0" fontId="0" fillId="0" borderId="45"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30" xfId="0" applyBorder="1"/>
    <xf numFmtId="0" fontId="8" fillId="8" borderId="7" xfId="4" applyFont="1" applyFill="1" applyBorder="1" applyAlignment="1">
      <alignment horizontal="center" vertical="top" wrapText="1"/>
    </xf>
    <xf numFmtId="0" fontId="0" fillId="0" borderId="40" xfId="0" applyBorder="1"/>
    <xf numFmtId="0" fontId="5" fillId="10" borderId="12" xfId="1" applyFont="1" applyFill="1" applyBorder="1" applyAlignment="1">
      <alignment horizontal="center" vertical="center" wrapText="1"/>
    </xf>
    <xf numFmtId="0" fontId="0" fillId="0" borderId="46" xfId="0" applyBorder="1"/>
    <xf numFmtId="0" fontId="5" fillId="10" borderId="7" xfId="1" applyFont="1" applyFill="1" applyBorder="1" applyAlignment="1">
      <alignment horizontal="center" vertical="center" wrapText="1"/>
    </xf>
    <xf numFmtId="0" fontId="0" fillId="0" borderId="21" xfId="0" applyBorder="1"/>
    <xf numFmtId="49" fontId="8" fillId="8" borderId="47" xfId="4" applyNumberFormat="1" applyFont="1" applyFill="1" applyBorder="1" applyAlignment="1">
      <alignment horizontal="center" vertical="top" wrapText="1"/>
    </xf>
    <xf numFmtId="0" fontId="0" fillId="0" borderId="36" xfId="0" applyBorder="1"/>
    <xf numFmtId="49" fontId="4" fillId="13" borderId="48" xfId="5" applyNumberFormat="1" applyFont="1" applyFill="1" applyBorder="1" applyAlignment="1">
      <alignment horizontal="center" vertical="top" wrapText="1"/>
    </xf>
    <xf numFmtId="0" fontId="0" fillId="0" borderId="28" xfId="0" applyBorder="1"/>
    <xf numFmtId="0" fontId="0" fillId="0" borderId="26" xfId="0" applyBorder="1"/>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3" fillId="11" borderId="26" xfId="4" applyFont="1" applyFill="1" applyBorder="1" applyAlignment="1">
      <alignment horizontal="center" vertical="center" wrapText="1"/>
    </xf>
    <xf numFmtId="0" fontId="8" fillId="8" borderId="6" xfId="4" applyFont="1" applyFill="1" applyBorder="1" applyAlignment="1">
      <alignment horizontal="center" vertical="top" wrapText="1"/>
    </xf>
    <xf numFmtId="0" fontId="0" fillId="0" borderId="31" xfId="0" applyBorder="1"/>
    <xf numFmtId="0" fontId="8" fillId="8" borderId="41" xfId="4" applyFont="1" applyFill="1" applyBorder="1" applyAlignment="1">
      <alignment horizontal="center" vertical="top" wrapText="1"/>
    </xf>
    <xf numFmtId="0" fontId="0" fillId="0" borderId="34" xfId="0" applyBorder="1"/>
    <xf numFmtId="0" fontId="0" fillId="0" borderId="48" xfId="0" applyBorder="1" applyAlignment="1">
      <alignment horizontal="center" vertical="top" wrapText="1"/>
    </xf>
    <xf numFmtId="0" fontId="0" fillId="0" borderId="25" xfId="0" applyBorder="1"/>
    <xf numFmtId="0" fontId="0" fillId="0" borderId="20" xfId="0" applyBorder="1"/>
    <xf numFmtId="0" fontId="10" fillId="4" borderId="48" xfId="0" applyFont="1" applyFill="1" applyBorder="1" applyAlignment="1">
      <alignment horizontal="center" vertical="top" wrapText="1"/>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8" fillId="13" borderId="3" xfId="5" applyFont="1" applyFill="1" applyBorder="1" applyAlignment="1">
      <alignment horizontal="center" vertical="top" wrapText="1"/>
    </xf>
    <xf numFmtId="0" fontId="0" fillId="0" borderId="3" xfId="0" applyBorder="1"/>
    <xf numFmtId="0" fontId="17" fillId="0" borderId="3" xfId="0" applyFont="1" applyBorder="1" applyAlignment="1">
      <alignment vertical="top" wrapText="1"/>
    </xf>
    <xf numFmtId="0" fontId="0" fillId="0" borderId="3" xfId="0" applyBorder="1" applyAlignment="1">
      <alignment vertical="top" wrapText="1"/>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50">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40"/>
  <sheetViews>
    <sheetView tabSelected="1" topLeftCell="A4" zoomScale="70" zoomScaleNormal="70" workbookViewId="0">
      <selection activeCell="F14" sqref="F14"/>
    </sheetView>
  </sheetViews>
  <sheetFormatPr defaultColWidth="11.44140625" defaultRowHeight="13.2" outlineLevelRow="1" x14ac:dyDescent="0.25"/>
  <cols>
    <col min="1" max="1" width="3.109375" style="52" customWidth="1"/>
    <col min="2" max="2" width="35.21875" style="52" bestFit="1" customWidth="1"/>
    <col min="3" max="3" width="29" style="52" customWidth="1"/>
    <col min="4" max="4" width="15.6640625" style="52" customWidth="1"/>
    <col min="5" max="5" width="33.33203125" style="52" customWidth="1"/>
    <col min="6" max="6" width="25" style="52" customWidth="1"/>
    <col min="7" max="7" width="27.88671875" style="52" customWidth="1"/>
    <col min="8" max="8" width="50.44140625" style="52" customWidth="1"/>
    <col min="9" max="9" width="68" style="52" customWidth="1"/>
    <col min="10" max="10" width="30.88671875" style="52" customWidth="1"/>
    <col min="11" max="11" width="12" style="52" customWidth="1"/>
    <col min="12" max="12" width="18.33203125" style="53" customWidth="1"/>
    <col min="13" max="13" width="5.5546875" style="52" customWidth="1"/>
    <col min="14" max="15" width="11.44140625" style="52" customWidth="1"/>
    <col min="16" max="16" width="45.44140625" style="52" customWidth="1"/>
    <col min="17" max="19" width="11.44140625" style="52" customWidth="1"/>
    <col min="20" max="16384" width="11.44140625" style="52"/>
  </cols>
  <sheetData>
    <row r="1" spans="1:13" ht="9.75" customHeight="1" thickBot="1" x14ac:dyDescent="0.3">
      <c r="A1" s="2"/>
      <c r="B1" s="2"/>
      <c r="C1" s="2"/>
      <c r="D1" s="2"/>
      <c r="E1" s="2"/>
      <c r="F1" s="2"/>
      <c r="G1" s="2"/>
      <c r="H1" s="2"/>
      <c r="I1" s="2"/>
      <c r="J1" s="2"/>
      <c r="K1" s="2"/>
      <c r="L1" s="4"/>
      <c r="M1" s="2"/>
    </row>
    <row r="2" spans="1:13" ht="48" customHeight="1" thickBot="1" x14ac:dyDescent="0.3">
      <c r="A2" s="1" t="s">
        <v>2</v>
      </c>
      <c r="B2" s="13" t="s">
        <v>3</v>
      </c>
      <c r="C2" s="9"/>
      <c r="D2" s="9"/>
      <c r="E2" s="10"/>
      <c r="F2" s="26"/>
      <c r="G2" s="25"/>
      <c r="H2" s="22"/>
      <c r="I2" s="54"/>
      <c r="J2" s="55"/>
      <c r="K2" s="56"/>
      <c r="L2" s="15"/>
      <c r="M2" s="2"/>
    </row>
    <row r="3" spans="1:13" ht="46.5" customHeight="1" outlineLevel="1" thickBot="1" x14ac:dyDescent="0.3">
      <c r="A3" s="3"/>
      <c r="B3" s="65" t="s">
        <v>4</v>
      </c>
      <c r="C3" s="66"/>
      <c r="D3" s="24" t="s">
        <v>1</v>
      </c>
      <c r="E3" s="28"/>
      <c r="F3" s="26"/>
      <c r="G3" s="14"/>
      <c r="H3" s="23" t="s">
        <v>5</v>
      </c>
      <c r="I3" s="74"/>
      <c r="J3" s="70"/>
      <c r="K3" s="71"/>
      <c r="L3" s="11"/>
      <c r="M3" s="2"/>
    </row>
    <row r="4" spans="1:13" ht="24" customHeight="1" outlineLevel="1" thickBot="1" x14ac:dyDescent="0.3">
      <c r="A4" s="3"/>
      <c r="B4" s="57" t="s">
        <v>6</v>
      </c>
      <c r="C4" s="58"/>
      <c r="D4" s="17" t="s">
        <v>1</v>
      </c>
      <c r="E4" s="29"/>
      <c r="F4" s="27"/>
      <c r="G4" s="11"/>
      <c r="H4" s="9"/>
      <c r="I4" s="9"/>
      <c r="J4" s="9"/>
      <c r="K4" s="9"/>
      <c r="L4" s="9"/>
      <c r="M4" s="2"/>
    </row>
    <row r="5" spans="1:13" ht="23.25" customHeight="1" outlineLevel="1" thickBot="1" x14ac:dyDescent="0.3">
      <c r="A5" s="3"/>
      <c r="B5" s="57" t="s">
        <v>7</v>
      </c>
      <c r="C5" s="58"/>
      <c r="D5" s="17" t="s">
        <v>1</v>
      </c>
      <c r="E5" s="29"/>
      <c r="F5" s="27"/>
      <c r="G5" s="11"/>
      <c r="H5" s="79"/>
      <c r="I5" s="9"/>
      <c r="J5" s="9"/>
      <c r="K5" s="82"/>
      <c r="L5" s="83"/>
      <c r="M5" s="2"/>
    </row>
    <row r="6" spans="1:13" ht="23.25" customHeight="1" outlineLevel="1" x14ac:dyDescent="0.25">
      <c r="A6" s="3"/>
      <c r="B6" s="57" t="s">
        <v>8</v>
      </c>
      <c r="C6" s="58"/>
      <c r="D6" s="17" t="s">
        <v>1</v>
      </c>
      <c r="E6" s="29"/>
      <c r="F6" s="26"/>
      <c r="G6" s="11"/>
      <c r="H6" s="80"/>
      <c r="I6" s="9"/>
      <c r="J6" s="9"/>
      <c r="K6" s="84"/>
      <c r="L6" s="85"/>
      <c r="M6" s="2"/>
    </row>
    <row r="7" spans="1:13" ht="25.5" customHeight="1" outlineLevel="1" x14ac:dyDescent="0.25">
      <c r="A7" s="3"/>
      <c r="B7" s="57" t="s">
        <v>9</v>
      </c>
      <c r="C7" s="58"/>
      <c r="D7" s="40" t="str">
        <f>IF(COUNTIF($J14:$J40,"Failed")&gt;0,"Failed",IF(COUNTIF($J14:$J40,"Not done")&gt;0,"Not done","Passed"))</f>
        <v>Passed</v>
      </c>
      <c r="E7" s="30" t="s">
        <v>10</v>
      </c>
      <c r="F7" s="14"/>
      <c r="G7" s="11"/>
      <c r="H7" s="80"/>
      <c r="I7" s="9"/>
      <c r="J7" s="9"/>
      <c r="K7" s="84"/>
      <c r="L7" s="85"/>
      <c r="M7" s="21"/>
    </row>
    <row r="8" spans="1:13" ht="24" customHeight="1" outlineLevel="1" thickBot="1" x14ac:dyDescent="0.3">
      <c r="A8" s="3"/>
      <c r="B8" s="63" t="s">
        <v>11</v>
      </c>
      <c r="C8" s="64"/>
      <c r="D8" s="31" t="str">
        <f>IF($D7="Failed","Failed",
IF(COUNTIF($D4:$D7,"coverage not fulfilled")&gt;0,"Failed",
IF(COUNTIF($D4:$D7,"Not done")&gt;0,"Not done",
"Passed")))</f>
        <v>Not done</v>
      </c>
      <c r="E8" s="32"/>
      <c r="F8" s="14"/>
      <c r="G8" s="12"/>
      <c r="H8" s="81"/>
      <c r="I8" s="9"/>
      <c r="J8" s="9"/>
      <c r="K8" s="86"/>
      <c r="L8" s="87"/>
      <c r="M8" s="2"/>
    </row>
    <row r="9" spans="1:13" ht="23.25" customHeight="1" outlineLevel="1" thickBot="1" x14ac:dyDescent="0.3">
      <c r="A9" s="3"/>
      <c r="B9" s="11"/>
      <c r="C9" s="12"/>
      <c r="D9" s="12"/>
      <c r="E9" s="12"/>
      <c r="F9" s="12"/>
      <c r="G9" s="12"/>
      <c r="H9" s="12"/>
      <c r="I9" s="12"/>
      <c r="J9" s="12"/>
      <c r="K9" s="12"/>
      <c r="L9" s="12"/>
      <c r="M9" s="2"/>
    </row>
    <row r="10" spans="1:13" ht="39.75" customHeight="1" outlineLevel="1" thickBot="1" x14ac:dyDescent="0.3">
      <c r="A10" s="3" t="s">
        <v>2</v>
      </c>
      <c r="B10" s="5" t="s">
        <v>12</v>
      </c>
      <c r="C10" s="6"/>
      <c r="D10" s="6"/>
      <c r="E10" s="6"/>
      <c r="F10" s="6"/>
      <c r="G10" s="6"/>
      <c r="H10" s="6"/>
      <c r="I10" s="6"/>
      <c r="J10" s="42"/>
      <c r="K10" s="49"/>
      <c r="L10" s="50"/>
      <c r="M10" s="2"/>
    </row>
    <row r="11" spans="1:13" ht="18.75" customHeight="1" outlineLevel="1" thickBot="1" x14ac:dyDescent="0.3">
      <c r="A11" s="2"/>
      <c r="B11" s="7" t="s">
        <v>13</v>
      </c>
      <c r="C11" s="8"/>
      <c r="D11" s="8"/>
      <c r="E11" s="8"/>
      <c r="F11" s="8"/>
      <c r="G11" s="8"/>
      <c r="H11" s="8"/>
      <c r="I11" s="41"/>
      <c r="J11" s="69" t="s">
        <v>0</v>
      </c>
      <c r="K11" s="70"/>
      <c r="L11" s="83"/>
      <c r="M11" s="2"/>
    </row>
    <row r="12" spans="1:13" ht="41.25" customHeight="1" outlineLevel="1" thickBot="1" x14ac:dyDescent="0.3">
      <c r="A12" s="2"/>
      <c r="B12" s="61" t="s">
        <v>32</v>
      </c>
      <c r="C12" s="59" t="s">
        <v>33</v>
      </c>
      <c r="D12" s="59" t="s">
        <v>20</v>
      </c>
      <c r="E12" s="59" t="s">
        <v>14</v>
      </c>
      <c r="F12" s="75" t="s">
        <v>15</v>
      </c>
      <c r="G12" s="67" t="s">
        <v>16</v>
      </c>
      <c r="H12" s="59" t="s">
        <v>17</v>
      </c>
      <c r="I12" s="77" t="s">
        <v>18</v>
      </c>
      <c r="J12" s="72" t="s">
        <v>19</v>
      </c>
      <c r="K12" s="73" t="s">
        <v>21</v>
      </c>
      <c r="L12" s="88" t="s">
        <v>22</v>
      </c>
      <c r="M12" s="2"/>
    </row>
    <row r="13" spans="1:13" ht="97.5" customHeight="1" thickBot="1" x14ac:dyDescent="0.3">
      <c r="A13" s="2"/>
      <c r="B13" s="62"/>
      <c r="C13" s="60"/>
      <c r="D13" s="60"/>
      <c r="E13" s="60"/>
      <c r="F13" s="76"/>
      <c r="G13" s="68"/>
      <c r="H13" s="60"/>
      <c r="I13" s="78"/>
      <c r="J13" s="62"/>
      <c r="K13" s="60"/>
      <c r="L13" s="89"/>
      <c r="M13" s="2"/>
    </row>
    <row r="14" spans="1:13" ht="39.6" x14ac:dyDescent="0.25">
      <c r="A14" s="2"/>
      <c r="B14" s="34" t="s">
        <v>24</v>
      </c>
      <c r="C14" s="33" t="s">
        <v>23</v>
      </c>
      <c r="D14" s="33" t="s">
        <v>25</v>
      </c>
      <c r="E14" s="51" t="s">
        <v>26</v>
      </c>
      <c r="F14" s="33" t="s">
        <v>34</v>
      </c>
      <c r="G14" s="35" t="s">
        <v>27</v>
      </c>
      <c r="H14" s="33" t="s">
        <v>28</v>
      </c>
      <c r="I14" s="37" t="s">
        <v>29</v>
      </c>
      <c r="J14" s="47" t="s">
        <v>30</v>
      </c>
      <c r="K14" s="48" t="s">
        <v>31</v>
      </c>
      <c r="L14" s="90"/>
      <c r="M14" s="2"/>
    </row>
    <row r="15" spans="1:13" x14ac:dyDescent="0.25">
      <c r="A15" s="2"/>
      <c r="B15" s="34"/>
      <c r="C15" s="33"/>
      <c r="D15" s="33"/>
      <c r="E15" s="51"/>
      <c r="F15" s="33"/>
      <c r="G15" s="35"/>
      <c r="H15" s="33"/>
      <c r="I15" s="37"/>
      <c r="J15" s="47"/>
      <c r="K15" s="48"/>
      <c r="L15" s="90"/>
      <c r="M15" s="2"/>
    </row>
    <row r="16" spans="1:13" x14ac:dyDescent="0.25">
      <c r="A16" s="2"/>
      <c r="B16" s="34"/>
      <c r="C16" s="33"/>
      <c r="D16" s="33"/>
      <c r="E16" s="51"/>
      <c r="F16" s="33"/>
      <c r="G16" s="35"/>
      <c r="H16" s="33"/>
      <c r="I16" s="37"/>
      <c r="J16" s="47"/>
      <c r="K16" s="48"/>
      <c r="L16" s="90"/>
      <c r="M16" s="2"/>
    </row>
    <row r="17" spans="1:13" x14ac:dyDescent="0.25">
      <c r="A17" s="2"/>
      <c r="B17" s="34"/>
      <c r="C17" s="33"/>
      <c r="D17" s="33"/>
      <c r="E17" s="51"/>
      <c r="F17" s="33"/>
      <c r="G17" s="35"/>
      <c r="H17" s="33"/>
      <c r="I17" s="37"/>
      <c r="J17" s="47"/>
      <c r="K17" s="48"/>
      <c r="L17" s="90"/>
      <c r="M17" s="2"/>
    </row>
    <row r="18" spans="1:13" x14ac:dyDescent="0.25">
      <c r="A18" s="2"/>
      <c r="B18" s="34"/>
      <c r="C18" s="33"/>
      <c r="D18" s="33"/>
      <c r="E18" s="51"/>
      <c r="F18" s="33"/>
      <c r="G18" s="35"/>
      <c r="H18" s="33"/>
      <c r="I18" s="37"/>
      <c r="J18" s="47"/>
      <c r="K18" s="48"/>
      <c r="L18" s="90"/>
      <c r="M18" s="2"/>
    </row>
    <row r="19" spans="1:13" x14ac:dyDescent="0.25">
      <c r="A19" s="2"/>
      <c r="B19" s="34"/>
      <c r="C19" s="16"/>
      <c r="D19" s="16"/>
      <c r="E19" s="51"/>
      <c r="F19" s="33"/>
      <c r="G19" s="35"/>
      <c r="H19" s="33"/>
      <c r="I19" s="37"/>
      <c r="J19" s="47"/>
      <c r="K19" s="48"/>
      <c r="L19" s="90"/>
      <c r="M19" s="2"/>
    </row>
    <row r="20" spans="1:13" x14ac:dyDescent="0.25">
      <c r="A20" s="2"/>
      <c r="B20" s="34"/>
      <c r="C20" s="16"/>
      <c r="D20" s="16"/>
      <c r="E20" s="51"/>
      <c r="F20" s="33"/>
      <c r="G20" s="35"/>
      <c r="H20" s="33"/>
      <c r="I20" s="37"/>
      <c r="J20" s="47"/>
      <c r="K20" s="48"/>
      <c r="L20" s="90"/>
      <c r="M20" s="2"/>
    </row>
    <row r="21" spans="1:13" x14ac:dyDescent="0.25">
      <c r="A21" s="2"/>
      <c r="B21" s="34"/>
      <c r="C21" s="16"/>
      <c r="D21" s="16"/>
      <c r="E21" s="16"/>
      <c r="F21" s="16"/>
      <c r="G21" s="35"/>
      <c r="H21" s="33"/>
      <c r="I21" s="38"/>
      <c r="J21" s="44"/>
      <c r="K21" s="48"/>
      <c r="L21" s="90"/>
      <c r="M21" s="2"/>
    </row>
    <row r="22" spans="1:13" x14ac:dyDescent="0.25">
      <c r="A22" s="2"/>
      <c r="B22" s="34"/>
      <c r="C22" s="16"/>
      <c r="D22" s="16"/>
      <c r="E22" s="16"/>
      <c r="F22" s="16"/>
      <c r="G22" s="35"/>
      <c r="H22" s="33"/>
      <c r="I22" s="38"/>
      <c r="J22" s="44"/>
      <c r="K22" s="48"/>
      <c r="L22" s="90"/>
      <c r="M22" s="2"/>
    </row>
    <row r="23" spans="1:13" x14ac:dyDescent="0.25">
      <c r="A23" s="2"/>
      <c r="B23" s="34"/>
      <c r="C23" s="16"/>
      <c r="D23" s="16"/>
      <c r="E23" s="16"/>
      <c r="F23" s="16"/>
      <c r="G23" s="35"/>
      <c r="H23" s="33"/>
      <c r="I23" s="38"/>
      <c r="J23" s="44"/>
      <c r="K23" s="48"/>
      <c r="L23" s="91"/>
      <c r="M23" s="2"/>
    </row>
    <row r="24" spans="1:13" x14ac:dyDescent="0.25">
      <c r="A24" s="2"/>
      <c r="B24" s="34"/>
      <c r="C24" s="16"/>
      <c r="D24" s="16"/>
      <c r="E24" s="16"/>
      <c r="F24" s="16"/>
      <c r="G24" s="35"/>
      <c r="H24" s="33"/>
      <c r="I24" s="38"/>
      <c r="J24" s="44"/>
      <c r="K24" s="48"/>
      <c r="L24" s="91"/>
      <c r="M24" s="2"/>
    </row>
    <row r="25" spans="1:13" x14ac:dyDescent="0.25">
      <c r="A25" s="2"/>
      <c r="B25" s="34"/>
      <c r="C25" s="16"/>
      <c r="D25" s="16"/>
      <c r="E25" s="16"/>
      <c r="F25" s="16"/>
      <c r="G25" s="35"/>
      <c r="H25" s="16"/>
      <c r="I25" s="38"/>
      <c r="J25" s="44"/>
      <c r="K25" s="48"/>
      <c r="L25" s="91"/>
      <c r="M25" s="2"/>
    </row>
    <row r="26" spans="1:13" x14ac:dyDescent="0.25">
      <c r="A26" s="2"/>
      <c r="B26" s="34"/>
      <c r="C26" s="16"/>
      <c r="D26" s="16"/>
      <c r="E26" s="16"/>
      <c r="F26" s="16"/>
      <c r="G26" s="35"/>
      <c r="H26" s="16"/>
      <c r="I26" s="38"/>
      <c r="J26" s="44"/>
      <c r="K26" s="48"/>
      <c r="L26" s="91"/>
      <c r="M26" s="2"/>
    </row>
    <row r="27" spans="1:13" x14ac:dyDescent="0.25">
      <c r="A27" s="2"/>
      <c r="B27" s="34"/>
      <c r="C27" s="16"/>
      <c r="D27" s="16"/>
      <c r="E27" s="16"/>
      <c r="F27" s="16"/>
      <c r="G27" s="35"/>
      <c r="H27" s="16"/>
      <c r="I27" s="38"/>
      <c r="J27" s="44"/>
      <c r="K27" s="43"/>
      <c r="L27" s="91"/>
      <c r="M27" s="2"/>
    </row>
    <row r="28" spans="1:13" x14ac:dyDescent="0.25">
      <c r="A28" s="2"/>
      <c r="B28" s="34"/>
      <c r="C28" s="16"/>
      <c r="D28" s="16"/>
      <c r="E28" s="16"/>
      <c r="F28" s="16"/>
      <c r="G28" s="35"/>
      <c r="H28" s="16"/>
      <c r="I28" s="38"/>
      <c r="J28" s="44"/>
      <c r="K28" s="43"/>
      <c r="L28" s="91"/>
      <c r="M28" s="2"/>
    </row>
    <row r="29" spans="1:13" x14ac:dyDescent="0.25">
      <c r="A29" s="2"/>
      <c r="B29" s="34"/>
      <c r="C29" s="16"/>
      <c r="D29" s="16"/>
      <c r="E29" s="16"/>
      <c r="F29" s="16"/>
      <c r="G29" s="35"/>
      <c r="H29" s="16"/>
      <c r="I29" s="38"/>
      <c r="J29" s="44"/>
      <c r="K29" s="43"/>
      <c r="L29" s="91"/>
      <c r="M29" s="2"/>
    </row>
    <row r="30" spans="1:13" x14ac:dyDescent="0.25">
      <c r="A30" s="2"/>
      <c r="B30" s="34"/>
      <c r="C30" s="16"/>
      <c r="D30" s="16"/>
      <c r="E30" s="16"/>
      <c r="F30" s="16"/>
      <c r="G30" s="35"/>
      <c r="H30" s="16"/>
      <c r="I30" s="38"/>
      <c r="J30" s="44"/>
      <c r="K30" s="43"/>
      <c r="L30" s="91"/>
      <c r="M30" s="2"/>
    </row>
    <row r="31" spans="1:13" x14ac:dyDescent="0.25">
      <c r="A31" s="2"/>
      <c r="B31" s="34"/>
      <c r="C31" s="16"/>
      <c r="D31" s="16"/>
      <c r="E31" s="16"/>
      <c r="F31" s="16"/>
      <c r="G31" s="35"/>
      <c r="H31" s="16"/>
      <c r="I31" s="38"/>
      <c r="J31" s="44"/>
      <c r="K31" s="43"/>
      <c r="L31" s="91"/>
      <c r="M31" s="2"/>
    </row>
    <row r="32" spans="1:13" x14ac:dyDescent="0.25">
      <c r="A32" s="2"/>
      <c r="B32" s="34"/>
      <c r="C32" s="16"/>
      <c r="D32" s="16"/>
      <c r="E32" s="16"/>
      <c r="F32" s="16"/>
      <c r="G32" s="35"/>
      <c r="H32" s="16"/>
      <c r="I32" s="38"/>
      <c r="J32" s="44"/>
      <c r="K32" s="43"/>
      <c r="L32" s="91"/>
      <c r="M32" s="2"/>
    </row>
    <row r="33" spans="1:13" x14ac:dyDescent="0.25">
      <c r="A33" s="2"/>
      <c r="B33" s="34"/>
      <c r="C33" s="16"/>
      <c r="D33" s="16"/>
      <c r="E33" s="16"/>
      <c r="F33" s="16"/>
      <c r="G33" s="35"/>
      <c r="H33" s="16"/>
      <c r="I33" s="38"/>
      <c r="J33" s="44"/>
      <c r="K33" s="43"/>
      <c r="L33" s="91"/>
      <c r="M33" s="2"/>
    </row>
    <row r="34" spans="1:13" x14ac:dyDescent="0.25">
      <c r="A34" s="2"/>
      <c r="B34" s="34"/>
      <c r="C34" s="16"/>
      <c r="D34" s="16"/>
      <c r="E34" s="16"/>
      <c r="F34" s="16"/>
      <c r="G34" s="35"/>
      <c r="H34" s="16"/>
      <c r="I34" s="38"/>
      <c r="J34" s="44"/>
      <c r="K34" s="43"/>
      <c r="L34" s="91"/>
      <c r="M34" s="2"/>
    </row>
    <row r="35" spans="1:13" x14ac:dyDescent="0.25">
      <c r="A35" s="2"/>
      <c r="B35" s="34"/>
      <c r="C35" s="16"/>
      <c r="D35" s="16"/>
      <c r="E35" s="16"/>
      <c r="F35" s="16"/>
      <c r="G35" s="35"/>
      <c r="H35" s="16"/>
      <c r="I35" s="38"/>
      <c r="J35" s="44"/>
      <c r="K35" s="43"/>
      <c r="L35" s="91"/>
      <c r="M35" s="2"/>
    </row>
    <row r="36" spans="1:13" x14ac:dyDescent="0.25">
      <c r="A36" s="2"/>
      <c r="B36" s="34"/>
      <c r="C36" s="16"/>
      <c r="D36" s="16"/>
      <c r="E36" s="16"/>
      <c r="F36" s="16"/>
      <c r="G36" s="35"/>
      <c r="H36" s="16"/>
      <c r="I36" s="38"/>
      <c r="J36" s="44"/>
      <c r="K36" s="43"/>
      <c r="L36" s="91"/>
      <c r="M36" s="2"/>
    </row>
    <row r="37" spans="1:13" x14ac:dyDescent="0.25">
      <c r="A37" s="2"/>
      <c r="B37" s="34"/>
      <c r="C37" s="16"/>
      <c r="D37" s="16"/>
      <c r="E37" s="16"/>
      <c r="F37" s="16"/>
      <c r="G37" s="35"/>
      <c r="H37" s="16"/>
      <c r="I37" s="38"/>
      <c r="J37" s="44"/>
      <c r="K37" s="43"/>
      <c r="L37" s="91"/>
      <c r="M37" s="2"/>
    </row>
    <row r="38" spans="1:13" x14ac:dyDescent="0.25">
      <c r="A38" s="2"/>
      <c r="B38" s="18"/>
      <c r="C38" s="16"/>
      <c r="D38" s="16"/>
      <c r="E38" s="16"/>
      <c r="F38" s="16"/>
      <c r="G38" s="35"/>
      <c r="H38" s="16"/>
      <c r="I38" s="38"/>
      <c r="J38" s="44"/>
      <c r="K38" s="43"/>
      <c r="L38" s="91"/>
      <c r="M38" s="2"/>
    </row>
    <row r="39" spans="1:13" x14ac:dyDescent="0.25">
      <c r="A39" s="2"/>
      <c r="B39" s="18"/>
      <c r="C39" s="16"/>
      <c r="D39" s="16"/>
      <c r="E39" s="16"/>
      <c r="F39" s="16"/>
      <c r="G39" s="35"/>
      <c r="H39" s="16"/>
      <c r="I39" s="38"/>
      <c r="J39" s="44"/>
      <c r="K39" s="43"/>
      <c r="L39" s="91"/>
      <c r="M39" s="2"/>
    </row>
    <row r="40" spans="1:13" ht="13.8" thickBot="1" x14ac:dyDescent="0.3">
      <c r="B40" s="19"/>
      <c r="C40" s="20"/>
      <c r="D40" s="20"/>
      <c r="E40" s="20"/>
      <c r="F40" s="20"/>
      <c r="G40" s="36"/>
      <c r="H40" s="20"/>
      <c r="I40" s="39"/>
      <c r="J40" s="45"/>
      <c r="K40" s="46"/>
      <c r="L40" s="91"/>
      <c r="M40" s="2"/>
    </row>
  </sheetData>
  <mergeCells count="22">
    <mergeCell ref="I3:K3"/>
    <mergeCell ref="F12:F13"/>
    <mergeCell ref="I12:I13"/>
    <mergeCell ref="H5:H8"/>
    <mergeCell ref="K5:L8"/>
    <mergeCell ref="L12:L13"/>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s>
  <conditionalFormatting sqref="D3 D9">
    <cfRule type="cellIs" dxfId="49" priority="96" operator="equal">
      <formula>"failed"</formula>
    </cfRule>
    <cfRule type="cellIs" dxfId="48" priority="97" operator="equal">
      <formula>"passed"</formula>
    </cfRule>
  </conditionalFormatting>
  <conditionalFormatting sqref="D4:D6">
    <cfRule type="containsText" dxfId="47" priority="90" operator="containsText" text="coverage not fulfilled">
      <formula>NOT(ISERROR(SEARCH("coverage not fulfilled",D4)))</formula>
    </cfRule>
    <cfRule type="containsText" dxfId="46" priority="91" operator="containsText" text="100">
      <formula>NOT(ISERROR(SEARCH("100",D4)))</formula>
    </cfRule>
  </conditionalFormatting>
  <conditionalFormatting sqref="D8">
    <cfRule type="cellIs" dxfId="45" priority="80" operator="equal">
      <formula>"Failed"</formula>
    </cfRule>
    <cfRule type="cellIs" dxfId="44" priority="81" operator="equal">
      <formula>"Not Done"</formula>
    </cfRule>
    <cfRule type="cellIs" dxfId="43" priority="82" operator="equal">
      <formula>"Passed"</formula>
    </cfRule>
  </conditionalFormatting>
  <conditionalFormatting sqref="G14 G29:G40">
    <cfRule type="cellIs" dxfId="42" priority="79" operator="equal">
      <formula>"Manual-Mandatory"</formula>
    </cfRule>
  </conditionalFormatting>
  <conditionalFormatting sqref="D7">
    <cfRule type="cellIs" dxfId="41" priority="68" operator="equal">
      <formula>"Not done"</formula>
    </cfRule>
    <cfRule type="cellIs" dxfId="40" priority="69" operator="equal">
      <formula>"passed"</formula>
    </cfRule>
    <cfRule type="cellIs" dxfId="39" priority="70" operator="equal">
      <formula>"failed"</formula>
    </cfRule>
  </conditionalFormatting>
  <conditionalFormatting sqref="K14:K15 K27:K40 K21:K25">
    <cfRule type="expression" dxfId="38" priority="67">
      <formula>AND((I14= "yes"), (K14 = "No execution"))</formula>
    </cfRule>
  </conditionalFormatting>
  <conditionalFormatting sqref="J12 J21:J25 J27:J40">
    <cfRule type="cellIs" dxfId="37" priority="65" stopIfTrue="1" operator="equal">
      <formula>"Passed"</formula>
    </cfRule>
    <cfRule type="cellIs" dxfId="36" priority="66" stopIfTrue="1" operator="equal">
      <formula>"Failed"</formula>
    </cfRule>
  </conditionalFormatting>
  <conditionalFormatting sqref="J14">
    <cfRule type="cellIs" dxfId="35" priority="63" stopIfTrue="1" operator="equal">
      <formula>"Passed"</formula>
    </cfRule>
    <cfRule type="cellIs" dxfId="34" priority="64" stopIfTrue="1" operator="equal">
      <formula>"Failed"</formula>
    </cfRule>
  </conditionalFormatting>
  <conditionalFormatting sqref="G15">
    <cfRule type="cellIs" dxfId="33" priority="62" operator="equal">
      <formula>"Manual-Mandatory"</formula>
    </cfRule>
  </conditionalFormatting>
  <conditionalFormatting sqref="J15">
    <cfRule type="cellIs" dxfId="32" priority="59" stopIfTrue="1" operator="equal">
      <formula>"Passed"</formula>
    </cfRule>
    <cfRule type="cellIs" dxfId="31" priority="60" stopIfTrue="1" operator="equal">
      <formula>"Failed"</formula>
    </cfRule>
  </conditionalFormatting>
  <conditionalFormatting sqref="G21">
    <cfRule type="cellIs" dxfId="30" priority="31" operator="equal">
      <formula>"Manual-Mandatory"</formula>
    </cfRule>
  </conditionalFormatting>
  <conditionalFormatting sqref="G22">
    <cfRule type="cellIs" dxfId="29" priority="30" operator="equal">
      <formula>"Manual-Mandatory"</formula>
    </cfRule>
  </conditionalFormatting>
  <conditionalFormatting sqref="G23">
    <cfRule type="cellIs" dxfId="28" priority="29" operator="equal">
      <formula>"Manual-Mandatory"</formula>
    </cfRule>
  </conditionalFormatting>
  <conditionalFormatting sqref="G24">
    <cfRule type="cellIs" dxfId="27" priority="28" operator="equal">
      <formula>"Manual-Mandatory"</formula>
    </cfRule>
  </conditionalFormatting>
  <conditionalFormatting sqref="G25">
    <cfRule type="cellIs" dxfId="26" priority="27" operator="equal">
      <formula>"Manual-Mandatory"</formula>
    </cfRule>
  </conditionalFormatting>
  <conditionalFormatting sqref="K26">
    <cfRule type="expression" dxfId="25" priority="26">
      <formula>AND((I26= "yes"), (K26 = "No execution"))</formula>
    </cfRule>
  </conditionalFormatting>
  <conditionalFormatting sqref="J26">
    <cfRule type="cellIs" dxfId="24" priority="24" stopIfTrue="1" operator="equal">
      <formula>"Passed"</formula>
    </cfRule>
    <cfRule type="cellIs" dxfId="23" priority="25" stopIfTrue="1" operator="equal">
      <formula>"Failed"</formula>
    </cfRule>
  </conditionalFormatting>
  <conditionalFormatting sqref="G26">
    <cfRule type="cellIs" dxfId="22" priority="23" operator="equal">
      <formula>"Manual-Mandatory"</formula>
    </cfRule>
  </conditionalFormatting>
  <conditionalFormatting sqref="G27">
    <cfRule type="cellIs" dxfId="21" priority="22" operator="equal">
      <formula>"Manual-Mandatory"</formula>
    </cfRule>
  </conditionalFormatting>
  <conditionalFormatting sqref="G28">
    <cfRule type="cellIs" dxfId="20" priority="21" operator="equal">
      <formula>"Manual-Mandatory"</formula>
    </cfRule>
  </conditionalFormatting>
  <conditionalFormatting sqref="K16">
    <cfRule type="expression" dxfId="19" priority="20">
      <formula>AND((I16= "yes"), (K16 = "No execution"))</formula>
    </cfRule>
  </conditionalFormatting>
  <conditionalFormatting sqref="G16">
    <cfRule type="cellIs" dxfId="18" priority="19" operator="equal">
      <formula>"Manual-Mandatory"</formula>
    </cfRule>
  </conditionalFormatting>
  <conditionalFormatting sqref="J16">
    <cfRule type="cellIs" dxfId="17" priority="17" stopIfTrue="1" operator="equal">
      <formula>"Passed"</formula>
    </cfRule>
    <cfRule type="cellIs" dxfId="16" priority="18" stopIfTrue="1" operator="equal">
      <formula>"Failed"</formula>
    </cfRule>
  </conditionalFormatting>
  <conditionalFormatting sqref="K17">
    <cfRule type="expression" dxfId="15" priority="16">
      <formula>AND((I17= "yes"), (K17 = "No execution"))</formula>
    </cfRule>
  </conditionalFormatting>
  <conditionalFormatting sqref="G17">
    <cfRule type="cellIs" dxfId="14" priority="15" operator="equal">
      <formula>"Manual-Mandatory"</formula>
    </cfRule>
  </conditionalFormatting>
  <conditionalFormatting sqref="J17">
    <cfRule type="cellIs" dxfId="13" priority="13" stopIfTrue="1" operator="equal">
      <formula>"Passed"</formula>
    </cfRule>
    <cfRule type="cellIs" dxfId="12" priority="14" stopIfTrue="1" operator="equal">
      <formula>"Failed"</formula>
    </cfRule>
  </conditionalFormatting>
  <conditionalFormatting sqref="K18">
    <cfRule type="expression" dxfId="11" priority="12">
      <formula>AND((I18= "yes"), (K18 = "No execution"))</formula>
    </cfRule>
  </conditionalFormatting>
  <conditionalFormatting sqref="G18">
    <cfRule type="cellIs" dxfId="10" priority="11" operator="equal">
      <formula>"Manual-Mandatory"</formula>
    </cfRule>
  </conditionalFormatting>
  <conditionalFormatting sqref="J18">
    <cfRule type="cellIs" dxfId="9" priority="9" stopIfTrue="1" operator="equal">
      <formula>"Passed"</formula>
    </cfRule>
    <cfRule type="cellIs" dxfId="8" priority="10" stopIfTrue="1" operator="equal">
      <formula>"Failed"</formula>
    </cfRule>
  </conditionalFormatting>
  <conditionalFormatting sqref="K19">
    <cfRule type="expression" dxfId="7" priority="8">
      <formula>AND((I19= "yes"), (K19 = "No execution"))</formula>
    </cfRule>
  </conditionalFormatting>
  <conditionalFormatting sqref="G19">
    <cfRule type="cellIs" dxfId="6" priority="7" operator="equal">
      <formula>"Manual-Mandatory"</formula>
    </cfRule>
  </conditionalFormatting>
  <conditionalFormatting sqref="J19">
    <cfRule type="cellIs" dxfId="5" priority="5" stopIfTrue="1" operator="equal">
      <formula>"Passed"</formula>
    </cfRule>
    <cfRule type="cellIs" dxfId="4" priority="6" stopIfTrue="1" operator="equal">
      <formula>"Failed"</formula>
    </cfRule>
  </conditionalFormatting>
  <conditionalFormatting sqref="K20">
    <cfRule type="expression" dxfId="3" priority="4">
      <formula>AND((I20= "yes"), (K20 = "No execution"))</formula>
    </cfRule>
  </conditionalFormatting>
  <conditionalFormatting sqref="G20">
    <cfRule type="cellIs" dxfId="2" priority="3" operator="equal">
      <formula>"Manual-Mandatory"</formula>
    </cfRule>
  </conditionalFormatting>
  <conditionalFormatting sqref="J20">
    <cfRule type="cellIs" dxfId="1" priority="1" stopIfTrue="1" operator="equal">
      <formula>"Passed"</formula>
    </cfRule>
    <cfRule type="cellIs" dxfId="0" priority="2"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40" xr:uid="{00000000-0002-0000-0200-000002000000}">
      <formula1>"Functional Test,Boundary Value Analysis,Equivalence Class Partitioning,MC/DC,Error Guessing,Others"</formula1>
    </dataValidation>
    <dataValidation type="list" showInputMessage="1" showErrorMessage="1" sqref="J14:J40" xr:uid="{00000000-0002-0000-0200-000003000000}">
      <formula1>"Passed,Failed,Not done"</formula1>
    </dataValidation>
    <dataValidation type="list" showInputMessage="1" showErrorMessage="1" sqref="K14:K40"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Unit Design</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2026-09-11T09:24:44Z</dcterms:modified>
</cp:coreProperties>
</file>